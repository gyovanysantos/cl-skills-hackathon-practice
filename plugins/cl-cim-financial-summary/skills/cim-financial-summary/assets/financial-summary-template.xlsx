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ummary" sheetId="1" state="visible" r:id="rId1"/>
  </sheets>
  <definedNames>
    <definedName name="net_revenue__FY2020A">'Financial Summary'!$B$4</definedName>
    <definedName name="net_revenue__FY2021A">'Financial Summary'!$C$4</definedName>
    <definedName name="net_revenue__FY2022A">'Financial Summary'!$D$4</definedName>
    <definedName name="net_revenue__FY2023A">'Financial Summary'!$E$4</definedName>
    <definedName name="net_revenue__FY2024A">'Financial Summary'!$F$4</definedName>
    <definedName name="net_revenue__FY2025E">'Financial Summary'!$G$4</definedName>
    <definedName name="net_revenue__FY2026E">'Financial Summary'!$H$4</definedName>
    <definedName name="net_revenue__FY2027E">'Financial Summary'!$I$4</definedName>
    <definedName name="net_revenue__FY2028E">'Financial Summary'!$J$4</definedName>
    <definedName name="net_revenue__FY2029E">'Financial Summary'!$K$4</definedName>
    <definedName name="net_revenue__FY2030E">'Financial Summary'!$L$4</definedName>
    <definedName name="gross_profit__FY2020A">'Financial Summary'!$B$6</definedName>
    <definedName name="gross_profit__FY2021A">'Financial Summary'!$C$6</definedName>
    <definedName name="gross_profit__FY2022A">'Financial Summary'!$D$6</definedName>
    <definedName name="gross_profit__FY2023A">'Financial Summary'!$E$6</definedName>
    <definedName name="gross_profit__FY2024A">'Financial Summary'!$F$6</definedName>
    <definedName name="gross_profit__FY2025E">'Financial Summary'!$G$6</definedName>
    <definedName name="gross_profit__FY2026E">'Financial Summary'!$H$6</definedName>
    <definedName name="gross_profit__FY2027E">'Financial Summary'!$I$6</definedName>
    <definedName name="gross_profit__FY2028E">'Financial Summary'!$J$6</definedName>
    <definedName name="gross_profit__FY2029E">'Financial Summary'!$K$6</definedName>
    <definedName name="gross_profit__FY2030E">'Financial Summary'!$L$6</definedName>
    <definedName name="reported_ebitda__FY2020A">'Financial Summary'!$B$8</definedName>
    <definedName name="reported_ebitda__FY2021A">'Financial Summary'!$C$8</definedName>
    <definedName name="reported_ebitda__FY2022A">'Financial Summary'!$D$8</definedName>
    <definedName name="reported_ebitda__FY2023A">'Financial Summary'!$E$8</definedName>
    <definedName name="reported_ebitda__FY2024A">'Financial Summary'!$F$8</definedName>
    <definedName name="reported_ebitda__FY2025E">'Financial Summary'!$G$8</definedName>
    <definedName name="reported_ebitda__FY2026E">'Financial Summary'!$H$8</definedName>
    <definedName name="reported_ebitda__FY2027E">'Financial Summary'!$I$8</definedName>
    <definedName name="reported_ebitda__FY2028E">'Financial Summary'!$J$8</definedName>
    <definedName name="reported_ebitda__FY2029E">'Financial Summary'!$K$8</definedName>
    <definedName name="reported_ebitda__FY2030E">'Financial Summary'!$L$8</definedName>
    <definedName name="ebitda_adjustments__FY2020A">'Financial Summary'!$B$10</definedName>
    <definedName name="ebitda_adjustments__FY2021A">'Financial Summary'!$C$10</definedName>
    <definedName name="ebitda_adjustments__FY2022A">'Financial Summary'!$D$10</definedName>
    <definedName name="ebitda_adjustments__FY2023A">'Financial Summary'!$E$10</definedName>
    <definedName name="ebitda_adjustments__FY2024A">'Financial Summary'!$F$10</definedName>
    <definedName name="ebitda_adjustments__FY2025E">'Financial Summary'!$G$10</definedName>
    <definedName name="ebitda_adjustments__FY2026E">'Financial Summary'!$H$10</definedName>
    <definedName name="ebitda_adjustments__FY2027E">'Financial Summary'!$I$10</definedName>
    <definedName name="ebitda_adjustments__FY2028E">'Financial Summary'!$J$10</definedName>
    <definedName name="ebitda_adjustments__FY2029E">'Financial Summary'!$K$10</definedName>
    <definedName name="ebitda_adjustments__FY2030E">'Financial Summary'!$L$10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0.0;(&quot;$&quot;0.0)"/>
    <numFmt numFmtId="165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1E21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Financial Summary — Northbridge Packaging Holdings (fabricated, hackathon practice)</t>
        </is>
      </c>
    </row>
    <row r="3">
      <c r="A3" s="2" t="inlineStr">
        <is>
          <t>US$ millions</t>
        </is>
      </c>
      <c r="B3" s="3" t="inlineStr">
        <is>
          <t>FY2020A</t>
        </is>
      </c>
      <c r="C3" s="3" t="inlineStr">
        <is>
          <t>FY2021A</t>
        </is>
      </c>
      <c r="D3" s="3" t="inlineStr">
        <is>
          <t>FY2022A</t>
        </is>
      </c>
      <c r="E3" s="3" t="inlineStr">
        <is>
          <t>FY2023A</t>
        </is>
      </c>
      <c r="F3" s="3" t="inlineStr">
        <is>
          <t>FY2024A</t>
        </is>
      </c>
      <c r="G3" s="3" t="inlineStr">
        <is>
          <t>FY2025E</t>
        </is>
      </c>
      <c r="H3" s="3" t="inlineStr">
        <is>
          <t>FY2026E</t>
        </is>
      </c>
      <c r="I3" s="3" t="inlineStr">
        <is>
          <t>FY2027E</t>
        </is>
      </c>
      <c r="J3" s="3" t="inlineStr">
        <is>
          <t>FY2028E</t>
        </is>
      </c>
      <c r="K3" s="3" t="inlineStr">
        <is>
          <t>FY2029E</t>
        </is>
      </c>
      <c r="L3" s="3" t="inlineStr">
        <is>
          <t>FY2030E</t>
        </is>
      </c>
    </row>
    <row r="4">
      <c r="A4" s="4" t="inlineStr">
        <is>
          <t>Net revenue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6" t="inlineStr">
        <is>
          <t>Revenue growth %</t>
        </is>
      </c>
      <c r="B5" s="7" t="n"/>
      <c r="C5" s="7">
        <f>(C4-B4)/B4</f>
        <v/>
      </c>
      <c r="D5" s="7">
        <f>(D4-C4)/C4</f>
        <v/>
      </c>
      <c r="E5" s="7">
        <f>(E4-D4)/D4</f>
        <v/>
      </c>
      <c r="F5" s="7">
        <f>(F4-E4)/E4</f>
        <v/>
      </c>
      <c r="G5" s="7">
        <f>(G4-F4)/F4</f>
        <v/>
      </c>
      <c r="H5" s="7">
        <f>(H4-G4)/G4</f>
        <v/>
      </c>
      <c r="I5" s="7">
        <f>(I4-H4)/H4</f>
        <v/>
      </c>
      <c r="J5" s="7">
        <f>(J4-I4)/I4</f>
        <v/>
      </c>
      <c r="K5" s="7">
        <f>(K4-J4)/J4</f>
        <v/>
      </c>
      <c r="L5" s="7">
        <f>(L4-K4)/K4</f>
        <v/>
      </c>
    </row>
    <row r="6">
      <c r="A6" s="4" t="inlineStr">
        <is>
          <t>Gross profit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6" t="inlineStr">
        <is>
          <t>Gross margin %</t>
        </is>
      </c>
      <c r="B7" s="7">
        <f>B6/B4</f>
        <v/>
      </c>
      <c r="C7" s="7">
        <f>C6/C4</f>
        <v/>
      </c>
      <c r="D7" s="7">
        <f>D6/D4</f>
        <v/>
      </c>
      <c r="E7" s="7">
        <f>E6/E4</f>
        <v/>
      </c>
      <c r="F7" s="7">
        <f>F6/F4</f>
        <v/>
      </c>
      <c r="G7" s="7">
        <f>G6/G4</f>
        <v/>
      </c>
      <c r="H7" s="7">
        <f>H6/H4</f>
        <v/>
      </c>
      <c r="I7" s="7">
        <f>I6/I4</f>
        <v/>
      </c>
      <c r="J7" s="7">
        <f>J6/J4</f>
        <v/>
      </c>
      <c r="K7" s="7">
        <f>K6/K4</f>
        <v/>
      </c>
      <c r="L7" s="7">
        <f>L6/L4</f>
        <v/>
      </c>
    </row>
    <row r="8">
      <c r="A8" s="4" t="inlineStr">
        <is>
          <t>Reported EBITDA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6" t="inlineStr">
        <is>
          <t>EBITDA margin %</t>
        </is>
      </c>
      <c r="B9" s="7">
        <f>B8/B4</f>
        <v/>
      </c>
      <c r="C9" s="7">
        <f>C8/C4</f>
        <v/>
      </c>
      <c r="D9" s="7">
        <f>D8/D4</f>
        <v/>
      </c>
      <c r="E9" s="7">
        <f>E8/E4</f>
        <v/>
      </c>
      <c r="F9" s="7">
        <f>F8/F4</f>
        <v/>
      </c>
      <c r="G9" s="7">
        <f>G8/G4</f>
        <v/>
      </c>
      <c r="H9" s="7">
        <f>H8/H4</f>
        <v/>
      </c>
      <c r="I9" s="7">
        <f>I8/I4</f>
        <v/>
      </c>
      <c r="J9" s="7">
        <f>J8/J4</f>
        <v/>
      </c>
      <c r="K9" s="7">
        <f>K8/K4</f>
        <v/>
      </c>
      <c r="L9" s="7">
        <f>L8/L4</f>
        <v/>
      </c>
    </row>
    <row r="10">
      <c r="A10" s="4" t="inlineStr">
        <is>
          <t>Adjustments to EBITDA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6" t="inlineStr">
        <is>
          <t>Adjusted EBITDA</t>
        </is>
      </c>
      <c r="B11" s="5">
        <f>B8+B10</f>
        <v/>
      </c>
      <c r="C11" s="5">
        <f>C8+C10</f>
        <v/>
      </c>
      <c r="D11" s="5">
        <f>D8+D10</f>
        <v/>
      </c>
      <c r="E11" s="5">
        <f>E8+E10</f>
        <v/>
      </c>
      <c r="F11" s="5">
        <f>F8+F10</f>
        <v/>
      </c>
      <c r="G11" s="5">
        <f>G8+G10</f>
        <v/>
      </c>
      <c r="H11" s="5">
        <f>H8+H10</f>
        <v/>
      </c>
      <c r="I11" s="5">
        <f>I8+I10</f>
        <v/>
      </c>
      <c r="J11" s="5">
        <f>J8+J10</f>
        <v/>
      </c>
      <c r="K11" s="5">
        <f>K8+K10</f>
        <v/>
      </c>
      <c r="L11" s="5">
        <f>L8+L10</f>
        <v/>
      </c>
    </row>
    <row r="12">
      <c r="A12" s="6" t="inlineStr">
        <is>
          <t>Adjusted EBITDA margin %</t>
        </is>
      </c>
      <c r="B12" s="7">
        <f>B11/B4</f>
        <v/>
      </c>
      <c r="C12" s="7">
        <f>C11/C4</f>
        <v/>
      </c>
      <c r="D12" s="7">
        <f>D11/D4</f>
        <v/>
      </c>
      <c r="E12" s="7">
        <f>E11/E4</f>
        <v/>
      </c>
      <c r="F12" s="7">
        <f>F11/F4</f>
        <v/>
      </c>
      <c r="G12" s="7">
        <f>G11/G4</f>
        <v/>
      </c>
      <c r="H12" s="7">
        <f>H11/H4</f>
        <v/>
      </c>
      <c r="I12" s="7">
        <f>I11/I4</f>
        <v/>
      </c>
      <c r="J12" s="7">
        <f>J11/J4</f>
        <v/>
      </c>
      <c r="K12" s="7">
        <f>K11/K4</f>
        <v/>
      </c>
      <c r="L12" s="7">
        <f>L11/L4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2026-09-11T14:48:39Z</dcterms:created>
  <dcterms:modified xsi:type="dcterms:W3CDTF">2026-09-11T14:48:39Z</dcterms:modified>
</cp:coreProperties>
</file>